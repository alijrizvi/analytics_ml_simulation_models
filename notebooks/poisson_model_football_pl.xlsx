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8_{C7C2D89B-060C-4756-9294-2FE843224A4B}" xr6:coauthVersionLast="47" xr6:coauthVersionMax="47" xr10:uidLastSave="{00000000-0000-0000-0000-000000000000}"/>
  <bookViews>
    <workbookView xWindow="-120" yWindow="-120" windowWidth="29040" windowHeight="15840" activeTab="1" xr2:uid="{5272C208-32A9-4132-BA25-1684053C5305}"/>
  </bookViews>
  <sheets>
    <sheet name="2012-2013" sheetId="2" r:id="rId1"/>
    <sheet name="Poisson Distribution" sheetId="3" r:id="rId2"/>
  </sheets>
  <definedNames>
    <definedName name="att">Table_4[Attack Rating]</definedName>
    <definedName name="avg">'2012-2013'!$G$23</definedName>
    <definedName name="def">Table_4[Defense Rating]</definedName>
    <definedName name="ExternalData_1" localSheetId="0" hidden="1">'2012-2013'!$A$1:$J$21</definedName>
    <definedName name="teams">Table_4[Team]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3" l="1"/>
  <c r="F26" i="3"/>
  <c r="F9" i="3"/>
  <c r="E9" i="3"/>
  <c r="B9" i="3"/>
  <c r="C9" i="3"/>
  <c r="I3" i="3"/>
  <c r="C15" i="3" s="1"/>
  <c r="I1" i="3"/>
  <c r="B17" i="3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G23" i="2"/>
  <c r="J33" i="3" l="1"/>
  <c r="J29" i="3"/>
  <c r="J32" i="3"/>
  <c r="J38" i="3"/>
  <c r="J34" i="3"/>
  <c r="J39" i="3"/>
  <c r="J35" i="3"/>
  <c r="B21" i="3"/>
  <c r="B13" i="3"/>
  <c r="C20" i="3"/>
  <c r="C12" i="3"/>
  <c r="J30" i="3" s="1"/>
  <c r="B20" i="3"/>
  <c r="B12" i="3"/>
  <c r="C19" i="3"/>
  <c r="J37" i="3" s="1"/>
  <c r="C11" i="3"/>
  <c r="B16" i="3"/>
  <c r="B23" i="3"/>
  <c r="C14" i="3"/>
  <c r="B22" i="3"/>
  <c r="C13" i="3"/>
  <c r="J31" i="3" s="1"/>
  <c r="B19" i="3"/>
  <c r="B11" i="3"/>
  <c r="C18" i="3"/>
  <c r="J36" i="3" s="1"/>
  <c r="B24" i="3"/>
  <c r="C22" i="3"/>
  <c r="J40" i="3" s="1"/>
  <c r="C21" i="3"/>
  <c r="C10" i="3"/>
  <c r="J28" i="3" s="1"/>
  <c r="C23" i="3"/>
  <c r="J41" i="3" s="1"/>
  <c r="B15" i="3"/>
  <c r="B14" i="3"/>
  <c r="B18" i="3"/>
  <c r="C17" i="3"/>
  <c r="B10" i="3"/>
  <c r="C24" i="3"/>
  <c r="J42" i="3" s="1"/>
  <c r="C16" i="3"/>
  <c r="C28" i="3" l="1"/>
  <c r="C35" i="3"/>
  <c r="C36" i="3"/>
  <c r="C37" i="3"/>
  <c r="C40" i="3"/>
  <c r="C29" i="3"/>
  <c r="C30" i="3"/>
  <c r="C38" i="3"/>
  <c r="C41" i="3"/>
  <c r="C31" i="3"/>
  <c r="C39" i="3"/>
  <c r="C33" i="3"/>
  <c r="C32" i="3"/>
  <c r="C34" i="3"/>
  <c r="C42" i="3"/>
  <c r="P30" i="3"/>
  <c r="P34" i="3"/>
  <c r="P38" i="3"/>
  <c r="P42" i="3"/>
  <c r="P29" i="3"/>
  <c r="P33" i="3"/>
  <c r="P37" i="3"/>
  <c r="P41" i="3"/>
  <c r="P31" i="3"/>
  <c r="P35" i="3"/>
  <c r="P39" i="3"/>
  <c r="P28" i="3"/>
  <c r="P32" i="3"/>
  <c r="P36" i="3"/>
  <c r="P40" i="3"/>
  <c r="F29" i="3"/>
  <c r="F33" i="3"/>
  <c r="F37" i="3"/>
  <c r="F41" i="3"/>
  <c r="F34" i="3"/>
  <c r="F38" i="3"/>
  <c r="F28" i="3"/>
  <c r="F32" i="3"/>
  <c r="F36" i="3"/>
  <c r="F40" i="3"/>
  <c r="F30" i="3"/>
  <c r="F31" i="3"/>
  <c r="F35" i="3"/>
  <c r="F39" i="3"/>
  <c r="F42" i="3"/>
  <c r="Q30" i="3"/>
  <c r="Q34" i="3"/>
  <c r="Q38" i="3"/>
  <c r="Q42" i="3"/>
  <c r="Q29" i="3"/>
  <c r="Q33" i="3"/>
  <c r="Q37" i="3"/>
  <c r="Q41" i="3"/>
  <c r="Q36" i="3"/>
  <c r="Q28" i="3"/>
  <c r="Q32" i="3"/>
  <c r="Q40" i="3"/>
  <c r="Q31" i="3"/>
  <c r="Q35" i="3"/>
  <c r="Q39" i="3"/>
  <c r="I30" i="3"/>
  <c r="I34" i="3"/>
  <c r="I38" i="3"/>
  <c r="I42" i="3"/>
  <c r="I29" i="3"/>
  <c r="I33" i="3"/>
  <c r="I37" i="3"/>
  <c r="I41" i="3"/>
  <c r="I40" i="3"/>
  <c r="I28" i="3"/>
  <c r="I32" i="3"/>
  <c r="I36" i="3"/>
  <c r="I31" i="3"/>
  <c r="I35" i="3"/>
  <c r="I39" i="3"/>
  <c r="N29" i="3"/>
  <c r="N33" i="3"/>
  <c r="N37" i="3"/>
  <c r="N41" i="3"/>
  <c r="N42" i="3"/>
  <c r="N30" i="3"/>
  <c r="N28" i="3"/>
  <c r="N32" i="3"/>
  <c r="N36" i="3"/>
  <c r="N40" i="3"/>
  <c r="N31" i="3"/>
  <c r="N35" i="3"/>
  <c r="N39" i="3"/>
  <c r="N34" i="3"/>
  <c r="N38" i="3"/>
  <c r="E15" i="3"/>
  <c r="H30" i="3"/>
  <c r="H34" i="3"/>
  <c r="H38" i="3"/>
  <c r="H42" i="3"/>
  <c r="H31" i="3"/>
  <c r="H39" i="3"/>
  <c r="H29" i="3"/>
  <c r="H33" i="3"/>
  <c r="H37" i="3"/>
  <c r="H41" i="3"/>
  <c r="H35" i="3"/>
  <c r="H28" i="3"/>
  <c r="H32" i="3"/>
  <c r="H36" i="3"/>
  <c r="H40" i="3"/>
  <c r="E19" i="3"/>
  <c r="L28" i="3"/>
  <c r="L32" i="3"/>
  <c r="L36" i="3"/>
  <c r="L40" i="3"/>
  <c r="L41" i="3"/>
  <c r="L31" i="3"/>
  <c r="L35" i="3"/>
  <c r="L39" i="3"/>
  <c r="L37" i="3"/>
  <c r="L30" i="3"/>
  <c r="L34" i="3"/>
  <c r="L38" i="3"/>
  <c r="L42" i="3"/>
  <c r="L33" i="3"/>
  <c r="L29" i="3"/>
  <c r="E12" i="3"/>
  <c r="E28" i="3"/>
  <c r="E32" i="3"/>
  <c r="E36" i="3"/>
  <c r="E40" i="3"/>
  <c r="E31" i="3"/>
  <c r="E35" i="3"/>
  <c r="E39" i="3"/>
  <c r="E42" i="3"/>
  <c r="E38" i="3"/>
  <c r="E30" i="3"/>
  <c r="E34" i="3"/>
  <c r="E29" i="3"/>
  <c r="E33" i="3"/>
  <c r="E37" i="3"/>
  <c r="E41" i="3"/>
  <c r="K31" i="3"/>
  <c r="K35" i="3"/>
  <c r="K39" i="3"/>
  <c r="K30" i="3"/>
  <c r="K34" i="3"/>
  <c r="K38" i="3"/>
  <c r="K42" i="3"/>
  <c r="K41" i="3"/>
  <c r="K29" i="3"/>
  <c r="K33" i="3"/>
  <c r="K37" i="3"/>
  <c r="K28" i="3"/>
  <c r="K32" i="3"/>
  <c r="K36" i="3"/>
  <c r="K40" i="3"/>
  <c r="G29" i="3"/>
  <c r="G33" i="3"/>
  <c r="G37" i="3"/>
  <c r="G41" i="3"/>
  <c r="G28" i="3"/>
  <c r="G32" i="3"/>
  <c r="G36" i="3"/>
  <c r="G40" i="3"/>
  <c r="G31" i="3"/>
  <c r="G35" i="3"/>
  <c r="G39" i="3"/>
  <c r="G30" i="3"/>
  <c r="G34" i="3"/>
  <c r="G38" i="3"/>
  <c r="G42" i="3"/>
  <c r="E20" i="3"/>
  <c r="M28" i="3"/>
  <c r="M32" i="3"/>
  <c r="M36" i="3"/>
  <c r="M40" i="3"/>
  <c r="M42" i="3"/>
  <c r="M31" i="3"/>
  <c r="M35" i="3"/>
  <c r="M39" i="3"/>
  <c r="M38" i="3"/>
  <c r="M30" i="3"/>
  <c r="M34" i="3"/>
  <c r="M29" i="3"/>
  <c r="M33" i="3"/>
  <c r="M37" i="3"/>
  <c r="M41" i="3"/>
  <c r="F12" i="3"/>
  <c r="D28" i="3"/>
  <c r="D32" i="3"/>
  <c r="D36" i="3"/>
  <c r="D40" i="3"/>
  <c r="D29" i="3"/>
  <c r="D37" i="3"/>
  <c r="D31" i="3"/>
  <c r="D35" i="3"/>
  <c r="D39" i="3"/>
  <c r="D41" i="3"/>
  <c r="D30" i="3"/>
  <c r="D34" i="3"/>
  <c r="D38" i="3"/>
  <c r="D42" i="3"/>
  <c r="D33" i="3"/>
  <c r="F13" i="3"/>
  <c r="E17" i="3"/>
  <c r="O41" i="3"/>
  <c r="O29" i="3"/>
  <c r="O33" i="3"/>
  <c r="O37" i="3"/>
  <c r="O28" i="3"/>
  <c r="O32" i="3"/>
  <c r="O36" i="3"/>
  <c r="O40" i="3"/>
  <c r="O35" i="3"/>
  <c r="O39" i="3"/>
  <c r="O31" i="3"/>
  <c r="O30" i="3"/>
  <c r="O34" i="3"/>
  <c r="O38" i="3"/>
  <c r="O42" i="3"/>
  <c r="F24" i="3"/>
  <c r="F21" i="3"/>
  <c r="F14" i="3"/>
  <c r="F20" i="3"/>
  <c r="E22" i="3"/>
  <c r="F22" i="3"/>
  <c r="E23" i="3"/>
  <c r="E13" i="3"/>
  <c r="F16" i="3"/>
  <c r="F17" i="3"/>
  <c r="E24" i="3"/>
  <c r="E16" i="3"/>
  <c r="E21" i="3"/>
  <c r="F23" i="3"/>
  <c r="E18" i="3"/>
  <c r="F18" i="3"/>
  <c r="F11" i="3"/>
  <c r="F15" i="3"/>
  <c r="E14" i="3"/>
  <c r="E11" i="3"/>
  <c r="F19" i="3"/>
  <c r="K1" i="3" l="1"/>
  <c r="K3" i="3"/>
  <c r="M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A6233C-8453-4321-B484-C7E39E6C016C}" keepAlive="1" name="Query - Table 4" description="Connection to the 'Table 4' query in the workbook." type="5" refreshedVersion="8" background="1" saveData="1">
    <dbPr connection="Provider=Microsoft.Mashup.OleDb.1;Data Source=$Workbook$;Location=&quot;Table 4&quot;;Extended Properties=&quot;&quot;" command="SELECT * FROM [Table 4]"/>
  </connection>
</connections>
</file>

<file path=xl/sharedStrings.xml><?xml version="1.0" encoding="utf-8"?>
<sst xmlns="http://schemas.openxmlformats.org/spreadsheetml/2006/main" count="60" uniqueCount="55">
  <si>
    <t>Team</t>
  </si>
  <si>
    <t>W</t>
  </si>
  <si>
    <t>D</t>
  </si>
  <si>
    <t>L</t>
  </si>
  <si>
    <t>GF</t>
  </si>
  <si>
    <t>GA</t>
  </si>
  <si>
    <t>GD</t>
  </si>
  <si>
    <t>Manchester City</t>
  </si>
  <si>
    <t>Arsenal</t>
  </si>
  <si>
    <t>Newcastle United</t>
  </si>
  <si>
    <t>Liverpool</t>
  </si>
  <si>
    <t>Aston Villa</t>
  </si>
  <si>
    <t>Fulham</t>
  </si>
  <si>
    <t>Chelsea</t>
  </si>
  <si>
    <t>Everton</t>
  </si>
  <si>
    <t>Southampton</t>
  </si>
  <si>
    <t>Pos</t>
  </si>
  <si>
    <t>Pld</t>
  </si>
  <si>
    <t>Pts</t>
  </si>
  <si>
    <t>Manchester United (C)</t>
  </si>
  <si>
    <t>+43</t>
  </si>
  <si>
    <t>+32</t>
  </si>
  <si>
    <t>+36</t>
  </si>
  <si>
    <t>+35</t>
  </si>
  <si>
    <t>Tottenham Hotspur</t>
  </si>
  <si>
    <t>+20</t>
  </si>
  <si>
    <t>+15</t>
  </si>
  <si>
    <t>+28</t>
  </si>
  <si>
    <t>West Bromwich Albion</t>
  </si>
  <si>
    <t>−4</t>
  </si>
  <si>
    <t>Swansea City</t>
  </si>
  <si>
    <t>West Ham United</t>
  </si>
  <si>
    <t>−8</t>
  </si>
  <si>
    <t>Norwich City</t>
  </si>
  <si>
    <t>−17</t>
  </si>
  <si>
    <t>−10</t>
  </si>
  <si>
    <t>Stoke City</t>
  </si>
  <si>
    <t>−11</t>
  </si>
  <si>
    <t>−22</t>
  </si>
  <si>
    <t>−23</t>
  </si>
  <si>
    <t>Sunderland</t>
  </si>
  <si>
    <t>−13</t>
  </si>
  <si>
    <t>Wigan Athletic (R)</t>
  </si>
  <si>
    <t>−26</t>
  </si>
  <si>
    <t>Reading (R)</t>
  </si>
  <si>
    <t>−30</t>
  </si>
  <si>
    <t>Queens Park Rangers (R)</t>
  </si>
  <si>
    <t>Average Goals Scored per Game:</t>
  </si>
  <si>
    <t>Attack Rating</t>
  </si>
  <si>
    <t>Defense Rating</t>
  </si>
  <si>
    <t>Home:</t>
  </si>
  <si>
    <t>Away:</t>
  </si>
  <si>
    <t>POISSON DISTRIBUTION</t>
  </si>
  <si>
    <t>Goals</t>
  </si>
  <si>
    <t>Probability of Winning Scoring These Many Goals: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</si>
</sst>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0" fontId="3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0" fontId="3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2">
    <cellStyle name="Normal" xfId="0" builtinId="0"/>
    <cellStyle name="Percent" xfId="1" builtinId="5"/>
  </cellStyles>
  <dxfs count="14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CBF444-9A4A-4C8F-9690-67A3392B0F60}" autoFormatId="16" applyNumberFormats="0" applyBorderFormats="0" applyFontFormats="0" applyPatternFormats="0" applyAlignmentFormats="0" applyWidthHeightFormats="0">
  <queryTableRefresh nextId="14" unboundColumnsRight="2">
    <queryTableFields count="12">
      <queryTableField id="1" name="Pos" tableColumnId="1"/>
      <queryTableField id="2" name="Team" tableColumnId="2"/>
      <queryTableField id="3" name="Pld" tableColumnId="3"/>
      <queryTableField id="4" name="W" tableColumnId="4"/>
      <queryTableField id="5" name="D" tableColumnId="5"/>
      <queryTableField id="6" name="L" tableColumnId="6"/>
      <queryTableField id="7" name="GF" tableColumnId="7"/>
      <queryTableField id="8" name="GA" tableColumnId="8"/>
      <queryTableField id="9" name="GD" tableColumnId="9"/>
      <queryTableField id="10" name="Pts" tableColumnId="10"/>
      <queryTableField id="12" dataBound="0" tableColumnId="12"/>
      <queryTableField id="13" dataBound="0" tableColumnId="13"/>
    </queryTableFields>
    <queryTableDeletedFields count="1">
      <deletedField name="Qualification or releg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66583-7A80-40AB-BB11-180A0301DDCA}" name="Table_4" displayName="Table_4" ref="A1:L21" tableType="queryTable" totalsRowShown="0" headerRowDxfId="4" dataDxfId="3">
  <tableColumns count="12">
    <tableColumn id="1" xr3:uid="{CCE803B2-8BF5-44E9-916C-65B74F7B96FE}" uniqueName="1" name="Pos" queryTableFieldId="1" dataDxfId="13"/>
    <tableColumn id="2" xr3:uid="{A078FF15-1324-4104-BE84-6787EB706F4B}" uniqueName="2" name="Team" queryTableFieldId="2" dataDxfId="12"/>
    <tableColumn id="3" xr3:uid="{34CE297C-4BF1-4CEE-A766-F564751ECDBC}" uniqueName="3" name="Pld" queryTableFieldId="3" dataDxfId="11"/>
    <tableColumn id="4" xr3:uid="{899376C7-A225-43ED-9BFC-1CDEB9CBFC24}" uniqueName="4" name="W" queryTableFieldId="4" dataDxfId="10"/>
    <tableColumn id="5" xr3:uid="{1EFF8A23-218B-4F50-BD44-99F46DA2C6F0}" uniqueName="5" name="D" queryTableFieldId="5" dataDxfId="9"/>
    <tableColumn id="6" xr3:uid="{593E2454-74AE-464B-9E8D-7B37A6080AFF}" uniqueName="6" name="L" queryTableFieldId="6" dataDxfId="8"/>
    <tableColumn id="7" xr3:uid="{6AAEF1C3-46AB-4C96-8C24-638F50782303}" uniqueName="7" name="GF" queryTableFieldId="7" dataDxfId="7"/>
    <tableColumn id="8" xr3:uid="{345067C7-5FC6-41BB-8846-95BFCDB719E8}" uniqueName="8" name="GA" queryTableFieldId="8" dataDxfId="6"/>
    <tableColumn id="9" xr3:uid="{DE25B1F7-2949-4E90-BC3E-B6520B56C11C}" uniqueName="9" name="GD" queryTableFieldId="9" dataDxfId="5"/>
    <tableColumn id="10" xr3:uid="{602EB936-6FB1-4183-8E73-B6181938CDA8}" uniqueName="10" name="Pts" queryTableFieldId="10" dataDxfId="2"/>
    <tableColumn id="12" xr3:uid="{B435D622-6579-49D5-B422-319BD28952AF}" uniqueName="12" name="Attack Rating" queryTableFieldId="12" dataDxfId="0">
      <calculatedColumnFormula>(Table_4[[#This Row],[GF]]/$C2)/$G$23</calculatedColumnFormula>
    </tableColumn>
    <tableColumn id="13" xr3:uid="{9DEB3B78-F15E-44BC-AAAD-53F73AD972A0}" uniqueName="13" name="Defense Rating" queryTableFieldId="13" dataDxfId="1">
      <calculatedColumnFormula>(Table_4[[#This Row],[GA]]/$C2)/$G$23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1EEE-D4E6-442C-8F2D-8C8EBA9F1CAB}">
  <dimension ref="A1:L23"/>
  <sheetViews>
    <sheetView workbookViewId="0">
      <selection activeCell="G23" sqref="G23"/>
    </sheetView>
  </sheetViews>
  <sheetFormatPr defaultRowHeight="15" x14ac:dyDescent="0.25"/>
  <cols>
    <col min="1" max="1" width="6.5703125" style="1" bestFit="1" customWidth="1"/>
    <col min="2" max="2" width="23.140625" style="1" bestFit="1" customWidth="1"/>
    <col min="3" max="3" width="6.140625" style="1" bestFit="1" customWidth="1"/>
    <col min="4" max="4" width="5.140625" style="1" bestFit="1" customWidth="1"/>
    <col min="5" max="5" width="4.7109375" style="1" bestFit="1" customWidth="1"/>
    <col min="6" max="6" width="30" style="1" bestFit="1" customWidth="1"/>
    <col min="7" max="7" width="5.7109375" style="1" bestFit="1" customWidth="1"/>
    <col min="8" max="8" width="5.85546875" style="1" bestFit="1" customWidth="1"/>
    <col min="9" max="10" width="6.140625" style="1" bestFit="1" customWidth="1"/>
    <col min="11" max="11" width="12.7109375" style="1" bestFit="1" customWidth="1"/>
    <col min="12" max="12" width="15" style="1" bestFit="1" customWidth="1"/>
    <col min="13" max="16384" width="9.140625" style="1"/>
  </cols>
  <sheetData>
    <row r="1" spans="1:12" x14ac:dyDescent="0.25">
      <c r="A1" s="1" t="s">
        <v>16</v>
      </c>
      <c r="B1" s="3" t="s">
        <v>0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48</v>
      </c>
      <c r="L1" s="1" t="s">
        <v>49</v>
      </c>
    </row>
    <row r="2" spans="1:12" x14ac:dyDescent="0.25">
      <c r="A2" s="1">
        <v>1</v>
      </c>
      <c r="B2" s="2" t="s">
        <v>19</v>
      </c>
      <c r="C2" s="1">
        <v>38</v>
      </c>
      <c r="D2" s="1">
        <v>28</v>
      </c>
      <c r="E2" s="1">
        <v>5</v>
      </c>
      <c r="F2" s="1">
        <v>5</v>
      </c>
      <c r="G2" s="1">
        <v>86</v>
      </c>
      <c r="H2" s="1">
        <v>43</v>
      </c>
      <c r="I2" s="2" t="s">
        <v>20</v>
      </c>
      <c r="J2" s="1">
        <v>89</v>
      </c>
      <c r="K2" s="4">
        <f>(Table_4[[#This Row],[GF]]/$C2)/$G$23</f>
        <v>1.6180620884289747</v>
      </c>
      <c r="L2" s="4">
        <f>(Table_4[[#This Row],[GA]]/$C2)/$G$23</f>
        <v>0.80903104421448735</v>
      </c>
    </row>
    <row r="3" spans="1:12" x14ac:dyDescent="0.25">
      <c r="A3" s="1">
        <v>2</v>
      </c>
      <c r="B3" s="2" t="s">
        <v>7</v>
      </c>
      <c r="C3" s="1">
        <v>38</v>
      </c>
      <c r="D3" s="1">
        <v>23</v>
      </c>
      <c r="E3" s="1">
        <v>9</v>
      </c>
      <c r="F3" s="1">
        <v>6</v>
      </c>
      <c r="G3" s="1">
        <v>66</v>
      </c>
      <c r="H3" s="1">
        <v>34</v>
      </c>
      <c r="I3" s="2" t="s">
        <v>21</v>
      </c>
      <c r="J3" s="1">
        <v>78</v>
      </c>
      <c r="K3" s="4">
        <f>(Table_4[[#This Row],[GF]]/$C3)/$G$23</f>
        <v>1.2417685794920039</v>
      </c>
      <c r="L3" s="4">
        <f>(Table_4[[#This Row],[GA]]/$C3)/$G$23</f>
        <v>0.63969896519285041</v>
      </c>
    </row>
    <row r="4" spans="1:12" x14ac:dyDescent="0.25">
      <c r="A4" s="1">
        <v>3</v>
      </c>
      <c r="B4" s="2" t="s">
        <v>13</v>
      </c>
      <c r="C4" s="1">
        <v>38</v>
      </c>
      <c r="D4" s="1">
        <v>22</v>
      </c>
      <c r="E4" s="1">
        <v>9</v>
      </c>
      <c r="F4" s="1">
        <v>7</v>
      </c>
      <c r="G4" s="1">
        <v>75</v>
      </c>
      <c r="H4" s="1">
        <v>39</v>
      </c>
      <c r="I4" s="2" t="s">
        <v>22</v>
      </c>
      <c r="J4" s="1">
        <v>75</v>
      </c>
      <c r="K4" s="4">
        <f>(Table_4[[#This Row],[GF]]/$C4)/$G$23</f>
        <v>1.4111006585136405</v>
      </c>
      <c r="L4" s="4">
        <f>(Table_4[[#This Row],[GA]]/$C4)/$G$23</f>
        <v>0.73377234242709322</v>
      </c>
    </row>
    <row r="5" spans="1:12" x14ac:dyDescent="0.25">
      <c r="A5" s="1">
        <v>4</v>
      </c>
      <c r="B5" s="2" t="s">
        <v>8</v>
      </c>
      <c r="C5" s="1">
        <v>38</v>
      </c>
      <c r="D5" s="1">
        <v>21</v>
      </c>
      <c r="E5" s="1">
        <v>10</v>
      </c>
      <c r="F5" s="1">
        <v>7</v>
      </c>
      <c r="G5" s="1">
        <v>72</v>
      </c>
      <c r="H5" s="1">
        <v>37</v>
      </c>
      <c r="I5" s="2" t="s">
        <v>23</v>
      </c>
      <c r="J5" s="1">
        <v>73</v>
      </c>
      <c r="K5" s="4">
        <f>(Table_4[[#This Row],[GF]]/$C5)/$G$23</f>
        <v>1.3546566321730951</v>
      </c>
      <c r="L5" s="4">
        <f>(Table_4[[#This Row],[GA]]/$C5)/$G$23</f>
        <v>0.69614299153339609</v>
      </c>
    </row>
    <row r="6" spans="1:12" x14ac:dyDescent="0.25">
      <c r="A6" s="1">
        <v>5</v>
      </c>
      <c r="B6" s="2" t="s">
        <v>24</v>
      </c>
      <c r="C6" s="1">
        <v>38</v>
      </c>
      <c r="D6" s="1">
        <v>21</v>
      </c>
      <c r="E6" s="1">
        <v>9</v>
      </c>
      <c r="F6" s="1">
        <v>8</v>
      </c>
      <c r="G6" s="1">
        <v>66</v>
      </c>
      <c r="H6" s="1">
        <v>46</v>
      </c>
      <c r="I6" s="2" t="s">
        <v>25</v>
      </c>
      <c r="J6" s="1">
        <v>72</v>
      </c>
      <c r="K6" s="4">
        <f>(Table_4[[#This Row],[GF]]/$C6)/$G$23</f>
        <v>1.2417685794920039</v>
      </c>
      <c r="L6" s="4">
        <f>(Table_4[[#This Row],[GA]]/$C6)/$G$23</f>
        <v>0.86547507055503292</v>
      </c>
    </row>
    <row r="7" spans="1:12" x14ac:dyDescent="0.25">
      <c r="A7" s="1">
        <v>6</v>
      </c>
      <c r="B7" s="2" t="s">
        <v>14</v>
      </c>
      <c r="C7" s="1">
        <v>38</v>
      </c>
      <c r="D7" s="1">
        <v>16</v>
      </c>
      <c r="E7" s="1">
        <v>15</v>
      </c>
      <c r="F7" s="1">
        <v>7</v>
      </c>
      <c r="G7" s="1">
        <v>55</v>
      </c>
      <c r="H7" s="1">
        <v>40</v>
      </c>
      <c r="I7" s="2" t="s">
        <v>26</v>
      </c>
      <c r="J7" s="1">
        <v>63</v>
      </c>
      <c r="K7" s="4">
        <f>(Table_4[[#This Row],[GF]]/$C7)/$G$23</f>
        <v>1.03480714957667</v>
      </c>
      <c r="L7" s="4">
        <f>(Table_4[[#This Row],[GA]]/$C7)/$G$23</f>
        <v>0.75258701787394167</v>
      </c>
    </row>
    <row r="8" spans="1:12" x14ac:dyDescent="0.25">
      <c r="A8" s="1">
        <v>7</v>
      </c>
      <c r="B8" s="2" t="s">
        <v>10</v>
      </c>
      <c r="C8" s="1">
        <v>38</v>
      </c>
      <c r="D8" s="1">
        <v>16</v>
      </c>
      <c r="E8" s="1">
        <v>13</v>
      </c>
      <c r="F8" s="1">
        <v>9</v>
      </c>
      <c r="G8" s="1">
        <v>71</v>
      </c>
      <c r="H8" s="1">
        <v>43</v>
      </c>
      <c r="I8" s="2" t="s">
        <v>27</v>
      </c>
      <c r="J8" s="1">
        <v>61</v>
      </c>
      <c r="K8" s="4">
        <f>(Table_4[[#This Row],[GF]]/$C8)/$G$23</f>
        <v>1.3358419567262465</v>
      </c>
      <c r="L8" s="4">
        <f>(Table_4[[#This Row],[GA]]/$C8)/$G$23</f>
        <v>0.80903104421448735</v>
      </c>
    </row>
    <row r="9" spans="1:12" x14ac:dyDescent="0.25">
      <c r="A9" s="1">
        <v>8</v>
      </c>
      <c r="B9" s="2" t="s">
        <v>28</v>
      </c>
      <c r="C9" s="1">
        <v>38</v>
      </c>
      <c r="D9" s="1">
        <v>14</v>
      </c>
      <c r="E9" s="1">
        <v>7</v>
      </c>
      <c r="F9" s="1">
        <v>17</v>
      </c>
      <c r="G9" s="1">
        <v>53</v>
      </c>
      <c r="H9" s="1">
        <v>57</v>
      </c>
      <c r="I9" s="2" t="s">
        <v>29</v>
      </c>
      <c r="J9" s="1">
        <v>49</v>
      </c>
      <c r="K9" s="4">
        <f>(Table_4[[#This Row],[GF]]/$C9)/$G$23</f>
        <v>0.99717779868297263</v>
      </c>
      <c r="L9" s="4">
        <f>(Table_4[[#This Row],[GA]]/$C9)/$G$23</f>
        <v>1.0724365004703669</v>
      </c>
    </row>
    <row r="10" spans="1:12" x14ac:dyDescent="0.25">
      <c r="A10" s="1">
        <v>9</v>
      </c>
      <c r="B10" s="2" t="s">
        <v>30</v>
      </c>
      <c r="C10" s="1">
        <v>38</v>
      </c>
      <c r="D10" s="1">
        <v>11</v>
      </c>
      <c r="E10" s="1">
        <v>13</v>
      </c>
      <c r="F10" s="1">
        <v>14</v>
      </c>
      <c r="G10" s="1">
        <v>47</v>
      </c>
      <c r="H10" s="1">
        <v>51</v>
      </c>
      <c r="I10" s="2" t="s">
        <v>29</v>
      </c>
      <c r="J10" s="1">
        <v>46</v>
      </c>
      <c r="K10" s="4">
        <f>(Table_4[[#This Row],[GF]]/$C10)/$G$23</f>
        <v>0.88428974600188159</v>
      </c>
      <c r="L10" s="4">
        <f>(Table_4[[#This Row],[GA]]/$C10)/$G$23</f>
        <v>0.95954844778927562</v>
      </c>
    </row>
    <row r="11" spans="1:12" x14ac:dyDescent="0.25">
      <c r="A11" s="1">
        <v>10</v>
      </c>
      <c r="B11" s="2" t="s">
        <v>31</v>
      </c>
      <c r="C11" s="1">
        <v>38</v>
      </c>
      <c r="D11" s="1">
        <v>12</v>
      </c>
      <c r="E11" s="1">
        <v>10</v>
      </c>
      <c r="F11" s="1">
        <v>16</v>
      </c>
      <c r="G11" s="1">
        <v>45</v>
      </c>
      <c r="H11" s="1">
        <v>53</v>
      </c>
      <c r="I11" s="2" t="s">
        <v>32</v>
      </c>
      <c r="J11" s="1">
        <v>46</v>
      </c>
      <c r="K11" s="4">
        <f>(Table_4[[#This Row],[GF]]/$C11)/$G$23</f>
        <v>0.84666039510818436</v>
      </c>
      <c r="L11" s="4">
        <f>(Table_4[[#This Row],[GA]]/$C11)/$G$23</f>
        <v>0.99717779868297263</v>
      </c>
    </row>
    <row r="12" spans="1:12" x14ac:dyDescent="0.25">
      <c r="A12" s="1">
        <v>11</v>
      </c>
      <c r="B12" s="2" t="s">
        <v>33</v>
      </c>
      <c r="C12" s="1">
        <v>38</v>
      </c>
      <c r="D12" s="1">
        <v>10</v>
      </c>
      <c r="E12" s="1">
        <v>14</v>
      </c>
      <c r="F12" s="1">
        <v>14</v>
      </c>
      <c r="G12" s="1">
        <v>41</v>
      </c>
      <c r="H12" s="1">
        <v>58</v>
      </c>
      <c r="I12" s="2" t="s">
        <v>34</v>
      </c>
      <c r="J12" s="1">
        <v>44</v>
      </c>
      <c r="K12" s="4">
        <f>(Table_4[[#This Row],[GF]]/$C12)/$G$23</f>
        <v>0.77140169332079023</v>
      </c>
      <c r="L12" s="4">
        <f>(Table_4[[#This Row],[GA]]/$C12)/$G$23</f>
        <v>1.0912511759172154</v>
      </c>
    </row>
    <row r="13" spans="1:12" x14ac:dyDescent="0.25">
      <c r="A13" s="1">
        <v>12</v>
      </c>
      <c r="B13" s="2" t="s">
        <v>12</v>
      </c>
      <c r="C13" s="1">
        <v>38</v>
      </c>
      <c r="D13" s="1">
        <v>11</v>
      </c>
      <c r="E13" s="1">
        <v>10</v>
      </c>
      <c r="F13" s="1">
        <v>17</v>
      </c>
      <c r="G13" s="1">
        <v>50</v>
      </c>
      <c r="H13" s="1">
        <v>60</v>
      </c>
      <c r="I13" s="2" t="s">
        <v>35</v>
      </c>
      <c r="J13" s="1">
        <v>43</v>
      </c>
      <c r="K13" s="4">
        <f>(Table_4[[#This Row],[GF]]/$C13)/$G$23</f>
        <v>0.94073377234242717</v>
      </c>
      <c r="L13" s="4">
        <f>(Table_4[[#This Row],[GA]]/$C13)/$G$23</f>
        <v>1.1288805268109126</v>
      </c>
    </row>
    <row r="14" spans="1:12" x14ac:dyDescent="0.25">
      <c r="A14" s="1">
        <v>13</v>
      </c>
      <c r="B14" s="2" t="s">
        <v>36</v>
      </c>
      <c r="C14" s="1">
        <v>38</v>
      </c>
      <c r="D14" s="1">
        <v>9</v>
      </c>
      <c r="E14" s="1">
        <v>15</v>
      </c>
      <c r="F14" s="1">
        <v>14</v>
      </c>
      <c r="G14" s="1">
        <v>34</v>
      </c>
      <c r="H14" s="1">
        <v>45</v>
      </c>
      <c r="I14" s="2" t="s">
        <v>37</v>
      </c>
      <c r="J14" s="1">
        <v>42</v>
      </c>
      <c r="K14" s="4">
        <f>(Table_4[[#This Row],[GF]]/$C14)/$G$23</f>
        <v>0.63969896519285041</v>
      </c>
      <c r="L14" s="4">
        <f>(Table_4[[#This Row],[GA]]/$C14)/$G$23</f>
        <v>0.84666039510818436</v>
      </c>
    </row>
    <row r="15" spans="1:12" x14ac:dyDescent="0.25">
      <c r="A15" s="1">
        <v>14</v>
      </c>
      <c r="B15" s="2" t="s">
        <v>15</v>
      </c>
      <c r="C15" s="1">
        <v>38</v>
      </c>
      <c r="D15" s="1">
        <v>9</v>
      </c>
      <c r="E15" s="1">
        <v>14</v>
      </c>
      <c r="F15" s="1">
        <v>15</v>
      </c>
      <c r="G15" s="1">
        <v>49</v>
      </c>
      <c r="H15" s="1">
        <v>60</v>
      </c>
      <c r="I15" s="2" t="s">
        <v>37</v>
      </c>
      <c r="J15" s="1">
        <v>41</v>
      </c>
      <c r="K15" s="4">
        <f>(Table_4[[#This Row],[GF]]/$C15)/$G$23</f>
        <v>0.9219190968955786</v>
      </c>
      <c r="L15" s="4">
        <f>(Table_4[[#This Row],[GA]]/$C15)/$G$23</f>
        <v>1.1288805268109126</v>
      </c>
    </row>
    <row r="16" spans="1:12" x14ac:dyDescent="0.25">
      <c r="A16" s="1">
        <v>15</v>
      </c>
      <c r="B16" s="2" t="s">
        <v>11</v>
      </c>
      <c r="C16" s="1">
        <v>38</v>
      </c>
      <c r="D16" s="1">
        <v>10</v>
      </c>
      <c r="E16" s="1">
        <v>11</v>
      </c>
      <c r="F16" s="1">
        <v>17</v>
      </c>
      <c r="G16" s="1">
        <v>47</v>
      </c>
      <c r="H16" s="1">
        <v>69</v>
      </c>
      <c r="I16" s="2" t="s">
        <v>38</v>
      </c>
      <c r="J16" s="1">
        <v>41</v>
      </c>
      <c r="K16" s="4">
        <f>(Table_4[[#This Row],[GF]]/$C16)/$G$23</f>
        <v>0.88428974600188159</v>
      </c>
      <c r="L16" s="4">
        <f>(Table_4[[#This Row],[GA]]/$C16)/$G$23</f>
        <v>1.2982126058325494</v>
      </c>
    </row>
    <row r="17" spans="1:12" x14ac:dyDescent="0.25">
      <c r="A17" s="1">
        <v>16</v>
      </c>
      <c r="B17" s="2" t="s">
        <v>9</v>
      </c>
      <c r="C17" s="1">
        <v>38</v>
      </c>
      <c r="D17" s="1">
        <v>11</v>
      </c>
      <c r="E17" s="1">
        <v>8</v>
      </c>
      <c r="F17" s="1">
        <v>19</v>
      </c>
      <c r="G17" s="1">
        <v>45</v>
      </c>
      <c r="H17" s="1">
        <v>68</v>
      </c>
      <c r="I17" s="2" t="s">
        <v>39</v>
      </c>
      <c r="J17" s="1">
        <v>41</v>
      </c>
      <c r="K17" s="4">
        <f>(Table_4[[#This Row],[GF]]/$C17)/$G$23</f>
        <v>0.84666039510818436</v>
      </c>
      <c r="L17" s="4">
        <f>(Table_4[[#This Row],[GA]]/$C17)/$G$23</f>
        <v>1.2793979303857008</v>
      </c>
    </row>
    <row r="18" spans="1:12" x14ac:dyDescent="0.25">
      <c r="A18" s="1">
        <v>17</v>
      </c>
      <c r="B18" s="2" t="s">
        <v>40</v>
      </c>
      <c r="C18" s="1">
        <v>38</v>
      </c>
      <c r="D18" s="1">
        <v>9</v>
      </c>
      <c r="E18" s="1">
        <v>12</v>
      </c>
      <c r="F18" s="1">
        <v>17</v>
      </c>
      <c r="G18" s="1">
        <v>41</v>
      </c>
      <c r="H18" s="1">
        <v>54</v>
      </c>
      <c r="I18" s="2" t="s">
        <v>41</v>
      </c>
      <c r="J18" s="1">
        <v>39</v>
      </c>
      <c r="K18" s="4">
        <f>(Table_4[[#This Row],[GF]]/$C18)/$G$23</f>
        <v>0.77140169332079023</v>
      </c>
      <c r="L18" s="4">
        <f>(Table_4[[#This Row],[GA]]/$C18)/$G$23</f>
        <v>1.0159924741298212</v>
      </c>
    </row>
    <row r="19" spans="1:12" x14ac:dyDescent="0.25">
      <c r="A19" s="1">
        <v>18</v>
      </c>
      <c r="B19" s="2" t="s">
        <v>42</v>
      </c>
      <c r="C19" s="1">
        <v>38</v>
      </c>
      <c r="D19" s="1">
        <v>9</v>
      </c>
      <c r="E19" s="1">
        <v>9</v>
      </c>
      <c r="F19" s="1">
        <v>20</v>
      </c>
      <c r="G19" s="1">
        <v>47</v>
      </c>
      <c r="H19" s="1">
        <v>73</v>
      </c>
      <c r="I19" s="2" t="s">
        <v>43</v>
      </c>
      <c r="J19" s="1">
        <v>36</v>
      </c>
      <c r="K19" s="4">
        <f>(Table_4[[#This Row],[GF]]/$C19)/$G$23</f>
        <v>0.88428974600188159</v>
      </c>
      <c r="L19" s="4">
        <f>(Table_4[[#This Row],[GA]]/$C19)/$G$23</f>
        <v>1.3734713076199436</v>
      </c>
    </row>
    <row r="20" spans="1:12" x14ac:dyDescent="0.25">
      <c r="A20" s="1">
        <v>19</v>
      </c>
      <c r="B20" s="2" t="s">
        <v>44</v>
      </c>
      <c r="C20" s="1">
        <v>38</v>
      </c>
      <c r="D20" s="1">
        <v>6</v>
      </c>
      <c r="E20" s="1">
        <v>10</v>
      </c>
      <c r="F20" s="1">
        <v>22</v>
      </c>
      <c r="G20" s="1">
        <v>43</v>
      </c>
      <c r="H20" s="1">
        <v>73</v>
      </c>
      <c r="I20" s="2" t="s">
        <v>45</v>
      </c>
      <c r="J20" s="1">
        <v>28</v>
      </c>
      <c r="K20" s="4">
        <f>(Table_4[[#This Row],[GF]]/$C20)/$G$23</f>
        <v>0.80903104421448735</v>
      </c>
      <c r="L20" s="4">
        <f>(Table_4[[#This Row],[GA]]/$C20)/$G$23</f>
        <v>1.3734713076199436</v>
      </c>
    </row>
    <row r="21" spans="1:12" x14ac:dyDescent="0.25">
      <c r="A21" s="1">
        <v>20</v>
      </c>
      <c r="B21" s="2" t="s">
        <v>46</v>
      </c>
      <c r="C21" s="1">
        <v>38</v>
      </c>
      <c r="D21" s="1">
        <v>4</v>
      </c>
      <c r="E21" s="1">
        <v>13</v>
      </c>
      <c r="F21" s="1">
        <v>21</v>
      </c>
      <c r="G21" s="1">
        <v>30</v>
      </c>
      <c r="H21" s="1">
        <v>60</v>
      </c>
      <c r="I21" s="2" t="s">
        <v>45</v>
      </c>
      <c r="J21" s="1">
        <v>25</v>
      </c>
      <c r="K21" s="4">
        <f>(Table_4[[#This Row],[GF]]/$C21)/$G$23</f>
        <v>0.56444026340545628</v>
      </c>
      <c r="L21" s="4">
        <f>(Table_4[[#This Row],[GA]]/$C21)/$G$23</f>
        <v>1.1288805268109126</v>
      </c>
    </row>
    <row r="23" spans="1:12" x14ac:dyDescent="0.25">
      <c r="F23" s="3" t="s">
        <v>47</v>
      </c>
      <c r="G23" s="4">
        <f>SUM(Table_4[GF])/SUM(Table_4[Pld])</f>
        <v>1.3986842105263158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6987-88F6-4700-80D7-031DCB31E217}">
  <dimension ref="A1:R42"/>
  <sheetViews>
    <sheetView tabSelected="1" topLeftCell="A16" workbookViewId="0">
      <selection activeCell="D24" sqref="D24"/>
    </sheetView>
  </sheetViews>
  <sheetFormatPr defaultRowHeight="15" x14ac:dyDescent="0.25"/>
  <cols>
    <col min="2" max="2" width="27.42578125" bestFit="1" customWidth="1"/>
    <col min="3" max="3" width="13.7109375" bestFit="1" customWidth="1"/>
    <col min="4" max="4" width="44" customWidth="1"/>
    <col min="5" max="5" width="27.85546875" bestFit="1" customWidth="1"/>
    <col min="6" max="6" width="21.5703125" bestFit="1" customWidth="1"/>
  </cols>
  <sheetData>
    <row r="1" spans="1:18" x14ac:dyDescent="0.25">
      <c r="A1" s="20" t="s">
        <v>50</v>
      </c>
      <c r="B1" s="20"/>
      <c r="C1" s="19" t="s">
        <v>19</v>
      </c>
      <c r="D1" s="19"/>
      <c r="E1" s="19"/>
      <c r="F1" s="19"/>
      <c r="G1" s="19"/>
      <c r="H1" s="19"/>
      <c r="I1" s="18">
        <f>_xlfn.XLOOKUP(C1, teams, att)*_xlfn.XLOOKUP(C3, teams, def)*avg</f>
        <v>1.8309649948012083</v>
      </c>
      <c r="J1" s="18"/>
      <c r="K1" s="14">
        <f>SUM(E11:E24)</f>
        <v>0.45378602862642259</v>
      </c>
      <c r="L1" s="15"/>
    </row>
    <row r="2" spans="1:18" x14ac:dyDescent="0.25">
      <c r="A2" s="20"/>
      <c r="B2" s="20"/>
      <c r="C2" s="19"/>
      <c r="D2" s="19"/>
      <c r="E2" s="19"/>
      <c r="F2" s="19"/>
      <c r="G2" s="19"/>
      <c r="H2" s="19"/>
      <c r="I2" s="18"/>
      <c r="J2" s="18"/>
      <c r="K2" s="15"/>
      <c r="L2" s="15"/>
      <c r="M2" s="22">
        <f>1 - SUM(K1:K3)</f>
        <v>0.22570932050458836</v>
      </c>
      <c r="N2" s="23"/>
    </row>
    <row r="3" spans="1:18" x14ac:dyDescent="0.25">
      <c r="A3" s="20" t="s">
        <v>51</v>
      </c>
      <c r="B3" s="21"/>
      <c r="C3" s="19" t="s">
        <v>10</v>
      </c>
      <c r="D3" s="19"/>
      <c r="E3" s="19"/>
      <c r="F3" s="19"/>
      <c r="G3" s="19"/>
      <c r="H3" s="19"/>
      <c r="I3" s="18">
        <f>_xlfn.XLOOKUP(C3, teams, att)*_xlfn.XLOOKUP(C1, teams, def)*avg</f>
        <v>1.511610635242858</v>
      </c>
      <c r="J3" s="18"/>
      <c r="K3" s="16">
        <f>SUM(F11:F24)</f>
        <v>0.32050465086898899</v>
      </c>
      <c r="L3" s="17"/>
      <c r="M3" s="23"/>
      <c r="N3" s="23"/>
    </row>
    <row r="4" spans="1:18" x14ac:dyDescent="0.25">
      <c r="A4" s="21"/>
      <c r="B4" s="21"/>
      <c r="C4" s="19"/>
      <c r="D4" s="19"/>
      <c r="E4" s="19"/>
      <c r="F4" s="19"/>
      <c r="G4" s="19"/>
      <c r="H4" s="19"/>
      <c r="I4" s="18"/>
      <c r="J4" s="18"/>
      <c r="K4" s="17"/>
      <c r="L4" s="17"/>
    </row>
    <row r="6" spans="1:18" x14ac:dyDescent="0.25">
      <c r="A6" s="5" t="s">
        <v>52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9" spans="1:18" x14ac:dyDescent="0.25">
      <c r="A9" s="9" t="s">
        <v>53</v>
      </c>
      <c r="B9" s="9" t="str">
        <f>C1 &amp; " Goals"</f>
        <v>Manchester United (C) Goals</v>
      </c>
      <c r="C9" s="9" t="str">
        <f>C3 &amp; " Goals"</f>
        <v>Liverpool Goals</v>
      </c>
      <c r="E9" s="7" t="str">
        <f>C1 &amp; " Win %"</f>
        <v>Manchester United (C) Win %</v>
      </c>
      <c r="F9" s="7" t="str">
        <f>C3 &amp; " Win %"</f>
        <v>Liverpool Win %</v>
      </c>
    </row>
    <row r="10" spans="1:18" x14ac:dyDescent="0.25">
      <c r="A10" s="10">
        <v>0</v>
      </c>
      <c r="B10" s="11">
        <f>_xlfn.POISSON.DIST(A10, $I$1, FALSE)</f>
        <v>0.1602588441819647</v>
      </c>
      <c r="C10" s="11">
        <f>_xlfn.POISSON.DIST(A10, $I$3, FALSE)</f>
        <v>0.22055445894595976</v>
      </c>
      <c r="E10" s="8"/>
      <c r="F10" s="8"/>
    </row>
    <row r="11" spans="1:18" x14ac:dyDescent="0.25">
      <c r="A11" s="10">
        <v>1</v>
      </c>
      <c r="B11" s="11">
        <f t="shared" ref="B11:B24" si="0">_xlfn.POISSON.DIST(A11, $I$1, FALSE)</f>
        <v>0.29342833380447869</v>
      </c>
      <c r="C11" s="11">
        <f t="shared" ref="C11:C24" si="1">_xlfn.POISSON.DIST(A11, $I$3, FALSE)</f>
        <v>0.33339246579294712</v>
      </c>
      <c r="D11" s="13" t="s">
        <v>54</v>
      </c>
      <c r="E11" s="24">
        <f>B11*SUM($C$10:C10)</f>
        <v>6.4716927401661267E-2</v>
      </c>
      <c r="F11" s="24">
        <f>C11*SUM($B$10:B10)</f>
        <v>5.3429091226952913E-2</v>
      </c>
    </row>
    <row r="12" spans="1:18" x14ac:dyDescent="0.25">
      <c r="A12" s="10">
        <v>2</v>
      </c>
      <c r="B12" s="11">
        <f t="shared" si="0"/>
        <v>0.26862850383942233</v>
      </c>
      <c r="C12" s="11">
        <f t="shared" si="1"/>
        <v>0.25197979850122981</v>
      </c>
      <c r="E12" s="24">
        <f>B12*SUM($C$10:C11)</f>
        <v>0.14880593359906163</v>
      </c>
      <c r="F12" s="24">
        <f>C12*SUM($B$10:B11)</f>
        <v>0.1143200036916156</v>
      </c>
    </row>
    <row r="13" spans="1:18" x14ac:dyDescent="0.25">
      <c r="A13" s="10">
        <v>3</v>
      </c>
      <c r="B13" s="11">
        <f t="shared" si="0"/>
        <v>0.16394979571193474</v>
      </c>
      <c r="C13" s="11">
        <f t="shared" si="1"/>
        <v>0.12696511442693714</v>
      </c>
      <c r="E13" s="24">
        <f>B13*SUM($C$10:C12)</f>
        <v>0.13213152163400937</v>
      </c>
      <c r="F13" s="24">
        <f>C13*SUM($B$10:B12)</f>
        <v>9.1708893195392174E-2</v>
      </c>
    </row>
    <row r="14" spans="1:18" x14ac:dyDescent="0.25">
      <c r="A14" s="10">
        <v>4</v>
      </c>
      <c r="B14" s="11">
        <f t="shared" si="0"/>
        <v>7.5046584213340428E-2</v>
      </c>
      <c r="C14" s="11">
        <f t="shared" si="1"/>
        <v>4.7980454318146168E-2</v>
      </c>
      <c r="E14" s="24">
        <f>B14*SUM($C$10:C13)</f>
        <v>7.0010345857419956E-2</v>
      </c>
      <c r="F14" s="24">
        <f>C14*SUM($B$10:B13)</f>
        <v>4.2523420258752435E-2</v>
      </c>
    </row>
    <row r="15" spans="1:18" x14ac:dyDescent="0.25">
      <c r="A15" s="10">
        <v>5</v>
      </c>
      <c r="B15" s="11">
        <f t="shared" si="0"/>
        <v>2.7481533734805438E-2</v>
      </c>
      <c r="C15" s="11">
        <f t="shared" si="1"/>
        <v>1.4505553006218754E-2</v>
      </c>
      <c r="E15" s="24">
        <f>B15*SUM($C$10:C14)</f>
        <v>2.6955874981727749E-2</v>
      </c>
      <c r="F15" s="24">
        <f>C15*SUM($B$10:B14)</f>
        <v>1.3944363067248611E-2</v>
      </c>
    </row>
    <row r="16" spans="1:18" x14ac:dyDescent="0.25">
      <c r="A16" s="10">
        <v>6</v>
      </c>
      <c r="B16" s="11">
        <f t="shared" si="0"/>
        <v>8.3862877119795561E-3</v>
      </c>
      <c r="C16" s="11">
        <f t="shared" si="1"/>
        <v>3.6544580323798793E-3</v>
      </c>
      <c r="E16" s="24">
        <f>B16*SUM($C$10:C15)</f>
        <v>8.3475249902283926E-3</v>
      </c>
      <c r="F16" s="24">
        <f>C16*SUM($B$10:B15)</f>
        <v>3.613504697389398E-3</v>
      </c>
    </row>
    <row r="17" spans="1:17" x14ac:dyDescent="0.25">
      <c r="A17" s="10">
        <v>7</v>
      </c>
      <c r="B17" s="11">
        <f t="shared" si="0"/>
        <v>2.1935713195665803E-3</v>
      </c>
      <c r="C17" s="11">
        <f t="shared" si="1"/>
        <v>7.8915966111344469E-4</v>
      </c>
      <c r="E17" s="24">
        <f>B17*SUM($C$10:C16)</f>
        <v>2.1914486072335971E-3</v>
      </c>
      <c r="F17" s="24">
        <f>C17*SUM($B$10:B16)</f>
        <v>7.8693413869361962E-4</v>
      </c>
    </row>
    <row r="18" spans="1:17" x14ac:dyDescent="0.25">
      <c r="A18" s="10">
        <v>8</v>
      </c>
      <c r="B18" s="11">
        <f t="shared" si="0"/>
        <v>5.0204403746578849E-4</v>
      </c>
      <c r="C18" s="11">
        <f t="shared" si="1"/>
        <v>1.4911276708046671E-4</v>
      </c>
      <c r="E18" s="24">
        <f>B18*SUM($C$10:C17)</f>
        <v>5.0195440387129349E-4</v>
      </c>
      <c r="F18" s="24">
        <f>C18*SUM($B$10:B17)</f>
        <v>1.4901934114986825E-4</v>
      </c>
    </row>
    <row r="19" spans="1:17" x14ac:dyDescent="0.25">
      <c r="A19" s="10">
        <v>9</v>
      </c>
      <c r="B19" s="11">
        <f t="shared" si="0"/>
        <v>1.0213611760539168E-4</v>
      </c>
      <c r="C19" s="11">
        <f t="shared" si="1"/>
        <v>2.5044493841036013E-5</v>
      </c>
      <c r="E19" s="24">
        <f>B19*SUM($C$10:C18)</f>
        <v>1.0213311229629794E-4</v>
      </c>
      <c r="F19" s="24">
        <f>C19*SUM($B$10:B18)</f>
        <v>2.5041375765362466E-5</v>
      </c>
    </row>
    <row r="20" spans="1:17" x14ac:dyDescent="0.25">
      <c r="A20" s="10">
        <v>10</v>
      </c>
      <c r="B20" s="11">
        <f t="shared" si="0"/>
        <v>1.8700765604037165E-5</v>
      </c>
      <c r="C20" s="11">
        <f t="shared" si="1"/>
        <v>3.7857523244384358E-6</v>
      </c>
      <c r="E20" s="24">
        <f>B20*SUM($C$10:C19)</f>
        <v>1.8700683693671238E-5</v>
      </c>
      <c r="F20" s="24">
        <f>C20*SUM($B$10:B19)</f>
        <v>3.7856676548481068E-6</v>
      </c>
    </row>
    <row r="21" spans="1:17" x14ac:dyDescent="0.25">
      <c r="A21" s="10">
        <v>11</v>
      </c>
      <c r="B21" s="11">
        <f t="shared" si="0"/>
        <v>3.1127679269976862E-6</v>
      </c>
      <c r="C21" s="11">
        <f t="shared" si="1"/>
        <v>5.2023486145604566E-7</v>
      </c>
      <c r="E21" s="24">
        <f>B21*SUM($C$10:C20)</f>
        <v>3.1127660770740355E-6</v>
      </c>
      <c r="F21" s="24">
        <f>C21*SUM($B$10:B20)</f>
        <v>5.2023295502322852E-7</v>
      </c>
    </row>
    <row r="22" spans="1:17" x14ac:dyDescent="0.25">
      <c r="A22" s="10">
        <v>12</v>
      </c>
      <c r="B22" s="11">
        <f t="shared" si="0"/>
        <v>4.7494742593939006E-7</v>
      </c>
      <c r="C22" s="11">
        <f t="shared" si="1"/>
        <v>6.5532712450087801E-8</v>
      </c>
      <c r="E22" s="24">
        <f>B22*SUM($C$10:C21)</f>
        <v>4.7494739076147776E-7</v>
      </c>
      <c r="F22" s="24">
        <f>C22*SUM($B$10:B21)</f>
        <v>6.5532676289536466E-8</v>
      </c>
    </row>
    <row r="23" spans="1:17" x14ac:dyDescent="0.25">
      <c r="A23" s="10">
        <v>13</v>
      </c>
      <c r="B23" s="11">
        <f t="shared" si="0"/>
        <v>6.6893239328151094E-8</v>
      </c>
      <c r="C23" s="11">
        <f t="shared" si="1"/>
        <v>7.6199957766049914E-9</v>
      </c>
      <c r="E23" s="24">
        <f>B23*SUM($C$10:C22)</f>
        <v>6.689323875726759E-8</v>
      </c>
      <c r="F23" s="24">
        <f>C23*SUM($B$10:B22)</f>
        <v>7.6199951910351421E-9</v>
      </c>
    </row>
    <row r="24" spans="1:17" x14ac:dyDescent="0.25">
      <c r="A24" s="10">
        <v>14</v>
      </c>
      <c r="B24" s="11">
        <f t="shared" si="0"/>
        <v>8.7485128284788405E-9</v>
      </c>
      <c r="C24" s="11">
        <f t="shared" si="1"/>
        <v>8.2274761831584055E-10</v>
      </c>
      <c r="E24" s="24">
        <f>B24*SUM($C$10:C23)</f>
        <v>8.748512820480492E-9</v>
      </c>
      <c r="F24" s="24">
        <f>C24*SUM($B$10:B23)</f>
        <v>8.2274761012683593E-10</v>
      </c>
    </row>
    <row r="25" spans="1:17" x14ac:dyDescent="0.25">
      <c r="B25" s="12"/>
      <c r="C25" s="12"/>
    </row>
    <row r="26" spans="1:17" x14ac:dyDescent="0.25">
      <c r="F26" s="6" t="str">
        <f>C1</f>
        <v>Manchester United (C)</v>
      </c>
    </row>
    <row r="27" spans="1:17" x14ac:dyDescent="0.25">
      <c r="C27" s="6">
        <v>0</v>
      </c>
      <c r="D27" s="6">
        <v>1</v>
      </c>
      <c r="E27" s="6">
        <v>2</v>
      </c>
      <c r="F27" s="6">
        <v>3</v>
      </c>
      <c r="G27" s="6">
        <v>4</v>
      </c>
      <c r="H27" s="6">
        <v>5</v>
      </c>
      <c r="I27" s="6">
        <v>6</v>
      </c>
      <c r="J27" s="6">
        <v>7</v>
      </c>
      <c r="K27" s="6">
        <v>8</v>
      </c>
      <c r="L27" s="6">
        <v>9</v>
      </c>
      <c r="M27" s="6">
        <v>10</v>
      </c>
      <c r="N27" s="6">
        <v>11</v>
      </c>
      <c r="O27" s="6">
        <v>12</v>
      </c>
      <c r="P27" s="6">
        <v>13</v>
      </c>
      <c r="Q27" s="6">
        <v>14</v>
      </c>
    </row>
    <row r="28" spans="1:17" x14ac:dyDescent="0.25">
      <c r="B28" s="26">
        <v>0</v>
      </c>
      <c r="C28" s="25">
        <f>_xlfn.XLOOKUP(C$27, $A$10:$A$24, $B$10:$B$24)*_xlfn.XLOOKUP($B28, $A$10:$A$24, $C$10:$C$24)</f>
        <v>3.5345802669858095E-2</v>
      </c>
      <c r="D28" s="25">
        <f t="shared" ref="D28:Q28" si="2">_xlfn.XLOOKUP(D$27, $A$10:$A$24, $B$10:$B$24)*_xlfn.XLOOKUP($B28, $A$10:$A$24, $C$10:$C$24)</f>
        <v>6.4716927401661267E-2</v>
      </c>
      <c r="E28" s="25">
        <f t="shared" si="2"/>
        <v>5.9247214321766467E-2</v>
      </c>
      <c r="F28" s="25">
        <f t="shared" si="2"/>
        <v>3.6159858487546402E-2</v>
      </c>
      <c r="G28" s="25">
        <f t="shared" si="2"/>
        <v>1.6551858776915705E-2</v>
      </c>
      <c r="H28" s="25">
        <f t="shared" si="2"/>
        <v>6.0611748038851545E-3</v>
      </c>
      <c r="I28" s="25">
        <f t="shared" si="2"/>
        <v>1.8496331488808018E-3</v>
      </c>
      <c r="J28" s="25">
        <f t="shared" si="2"/>
        <v>4.8380193554638213E-4</v>
      </c>
      <c r="K28" s="25">
        <f t="shared" si="2"/>
        <v>1.1072805105031213E-4</v>
      </c>
      <c r="L28" s="25">
        <f t="shared" si="2"/>
        <v>2.2526576157298077E-5</v>
      </c>
      <c r="M28" s="25">
        <f t="shared" si="2"/>
        <v>4.1245372396736311E-6</v>
      </c>
      <c r="N28" s="25">
        <f t="shared" si="2"/>
        <v>6.8653484596331151E-7</v>
      </c>
      <c r="O28" s="25">
        <f t="shared" si="2"/>
        <v>1.0475177255583847E-7</v>
      </c>
      <c r="P28" s="25">
        <f t="shared" si="2"/>
        <v>1.4753602207162962E-8</v>
      </c>
      <c r="Q28" s="25">
        <f t="shared" si="2"/>
        <v>1.9295235134669388E-9</v>
      </c>
    </row>
    <row r="29" spans="1:17" x14ac:dyDescent="0.25">
      <c r="B29" s="26">
        <v>1</v>
      </c>
      <c r="C29" s="25">
        <f t="shared" ref="C29:Q42" si="3">_xlfn.XLOOKUP(C$27, $A$10:$A$24, $B$10:$B$24)*_xlfn.XLOOKUP($B29, $A$10:$A$24, $C$10:$C$24)</f>
        <v>5.3429091226952913E-2</v>
      </c>
      <c r="D29" s="25">
        <f t="shared" si="3"/>
        <v>9.7826795740591138E-2</v>
      </c>
      <c r="E29" s="25">
        <f t="shared" si="3"/>
        <v>8.9558719277295168E-2</v>
      </c>
      <c r="F29" s="25">
        <f t="shared" si="3"/>
        <v>5.4659626658651872E-2</v>
      </c>
      <c r="G29" s="25">
        <f t="shared" si="3"/>
        <v>2.5019965760223625E-2</v>
      </c>
      <c r="H29" s="25">
        <f t="shared" si="3"/>
        <v>9.1621362956188449E-3</v>
      </c>
      <c r="I29" s="25">
        <f t="shared" si="3"/>
        <v>2.7959251391459568E-3</v>
      </c>
      <c r="J29" s="25">
        <f t="shared" si="3"/>
        <v>7.31320151122991E-4</v>
      </c>
      <c r="K29" s="25">
        <f t="shared" si="3"/>
        <v>1.6737769958736595E-4</v>
      </c>
      <c r="L29" s="25">
        <f t="shared" si="3"/>
        <v>3.405141209497997E-5</v>
      </c>
      <c r="M29" s="25">
        <f t="shared" si="3"/>
        <v>6.2346943569458826E-6</v>
      </c>
      <c r="N29" s="25">
        <f t="shared" si="3"/>
        <v>1.0377733746229591E-6</v>
      </c>
      <c r="O29" s="25">
        <f t="shared" si="3"/>
        <v>1.5834389345594639E-7</v>
      </c>
      <c r="P29" s="25">
        <f t="shared" si="3"/>
        <v>2.230170200449004E-8</v>
      </c>
      <c r="Q29" s="25">
        <f t="shared" si="3"/>
        <v>2.9166882639077909E-9</v>
      </c>
    </row>
    <row r="30" spans="1:17" x14ac:dyDescent="0.25">
      <c r="B30" s="26">
        <v>2</v>
      </c>
      <c r="C30" s="25">
        <f t="shared" si="3"/>
        <v>4.0381991265011449E-2</v>
      </c>
      <c r="D30" s="25">
        <f t="shared" si="3"/>
        <v>7.3938012426604138E-2</v>
      </c>
      <c r="E30" s="25">
        <f t="shared" si="3"/>
        <v>6.7688956269144479E-2</v>
      </c>
      <c r="F30" s="25">
        <f t="shared" si="3"/>
        <v>4.1312036487811107E-2</v>
      </c>
      <c r="G30" s="25">
        <f t="shared" si="3"/>
        <v>1.8910223168283096E-2</v>
      </c>
      <c r="H30" s="25">
        <f t="shared" si="3"/>
        <v>6.9247913330010239E-3</v>
      </c>
      <c r="I30" s="25">
        <f t="shared" si="3"/>
        <v>2.113175087837948E-3</v>
      </c>
      <c r="J30" s="25">
        <f t="shared" si="3"/>
        <v>5.5273565910246374E-4</v>
      </c>
      <c r="K30" s="25">
        <f t="shared" si="3"/>
        <v>1.2650495539937324E-4</v>
      </c>
      <c r="L30" s="25">
        <f t="shared" si="3"/>
        <v>2.5736238333904504E-5</v>
      </c>
      <c r="M30" s="25">
        <f t="shared" si="3"/>
        <v>4.712215148724014E-6</v>
      </c>
      <c r="N30" s="25">
        <f t="shared" si="3"/>
        <v>7.8435463502596784E-7</v>
      </c>
      <c r="O30" s="25">
        <f t="shared" si="3"/>
        <v>1.1967715668688528E-7</v>
      </c>
      <c r="P30" s="25">
        <f t="shared" si="3"/>
        <v>1.6855744967002055E-8</v>
      </c>
      <c r="Q30" s="25">
        <f t="shared" si="3"/>
        <v>2.2044484997055222E-9</v>
      </c>
    </row>
    <row r="31" spans="1:17" x14ac:dyDescent="0.25">
      <c r="A31" s="6" t="str">
        <f>C3</f>
        <v>Liverpool</v>
      </c>
      <c r="B31" s="26">
        <v>3</v>
      </c>
      <c r="C31" s="25">
        <f t="shared" si="3"/>
        <v>2.0347282489491837E-2</v>
      </c>
      <c r="D31" s="25">
        <f t="shared" si="3"/>
        <v>3.7255161977591142E-2</v>
      </c>
      <c r="E31" s="25">
        <f t="shared" si="3"/>
        <v>3.4106448728309181E-2</v>
      </c>
      <c r="F31" s="25">
        <f t="shared" si="3"/>
        <v>2.0815904572838762E-2</v>
      </c>
      <c r="G31" s="25">
        <f t="shared" si="3"/>
        <v>9.5282981519975423E-3</v>
      </c>
      <c r="H31" s="25">
        <f t="shared" si="3"/>
        <v>3.4891960752673058E-3</v>
      </c>
      <c r="I31" s="25">
        <f t="shared" si="3"/>
        <v>1.0647659789687013E-3</v>
      </c>
      <c r="J31" s="25">
        <f t="shared" si="3"/>
        <v>2.7850703359241839E-4</v>
      </c>
      <c r="K31" s="25">
        <f t="shared" si="3"/>
        <v>6.3742078664205359E-5</v>
      </c>
      <c r="L31" s="25">
        <f t="shared" si="3"/>
        <v>1.2967723858891663E-5</v>
      </c>
      <c r="M31" s="25">
        <f t="shared" si="3"/>
        <v>2.3743448447879091E-6</v>
      </c>
      <c r="N31" s="25">
        <f t="shared" si="3"/>
        <v>3.9521293603576116E-7</v>
      </c>
      <c r="O31" s="25">
        <f t="shared" si="3"/>
        <v>6.0301754281173911E-8</v>
      </c>
      <c r="P31" s="25">
        <f t="shared" si="3"/>
        <v>8.4931077856871962E-9</v>
      </c>
      <c r="Q31" s="25">
        <f t="shared" si="3"/>
        <v>1.1107559323333434E-9</v>
      </c>
    </row>
    <row r="32" spans="1:17" x14ac:dyDescent="0.25">
      <c r="B32" s="26">
        <v>4</v>
      </c>
      <c r="C32" s="25">
        <f t="shared" si="3"/>
        <v>7.689292152351662E-3</v>
      </c>
      <c r="D32" s="25">
        <f t="shared" si="3"/>
        <v>1.4078824765755536E-2</v>
      </c>
      <c r="E32" s="25">
        <f t="shared" si="3"/>
        <v>1.2888917657019355E-2</v>
      </c>
      <c r="F32" s="25">
        <f t="shared" si="3"/>
        <v>7.8663856836258816E-3</v>
      </c>
      <c r="G32" s="25">
        <f t="shared" si="3"/>
        <v>3.6007692055810897E-3</v>
      </c>
      <c r="H32" s="25">
        <f t="shared" si="3"/>
        <v>1.3185764739554252E-3</v>
      </c>
      <c r="I32" s="25">
        <f t="shared" si="3"/>
        <v>4.0237789446346563E-4</v>
      </c>
      <c r="J32" s="25">
        <f t="shared" si="3"/>
        <v>1.0524854849205991E-4</v>
      </c>
      <c r="K32" s="25">
        <f t="shared" si="3"/>
        <v>2.4088301005324927E-5</v>
      </c>
      <c r="L32" s="25">
        <f t="shared" si="3"/>
        <v>4.9005373249982997E-6</v>
      </c>
      <c r="M32" s="25">
        <f t="shared" si="3"/>
        <v>8.9727122977886437E-7</v>
      </c>
      <c r="N32" s="25">
        <f t="shared" si="3"/>
        <v>1.4935201932430302E-7</v>
      </c>
      <c r="O32" s="25">
        <f t="shared" si="3"/>
        <v>2.2788193273806015E-8</v>
      </c>
      <c r="P32" s="25">
        <f t="shared" si="3"/>
        <v>3.2095680137771723E-9</v>
      </c>
      <c r="Q32" s="25">
        <f t="shared" si="3"/>
        <v>4.197576201185447E-10</v>
      </c>
    </row>
    <row r="33" spans="2:17" x14ac:dyDescent="0.25">
      <c r="B33" s="26">
        <v>5</v>
      </c>
      <c r="C33" s="25">
        <f t="shared" si="3"/>
        <v>2.3246431589968408E-3</v>
      </c>
      <c r="D33" s="25">
        <f t="shared" si="3"/>
        <v>4.2563402495273163E-3</v>
      </c>
      <c r="E33" s="25">
        <f t="shared" si="3"/>
        <v>3.8966050014239786E-3</v>
      </c>
      <c r="F33" s="25">
        <f t="shared" si="3"/>
        <v>2.3781824520582055E-3</v>
      </c>
      <c r="G33" s="25">
        <f t="shared" si="3"/>
        <v>1.0885922052422691E-3</v>
      </c>
      <c r="H33" s="25">
        <f t="shared" si="3"/>
        <v>3.986348442824091E-4</v>
      </c>
      <c r="I33" s="25">
        <f t="shared" si="3"/>
        <v>1.2164774093152044E-4</v>
      </c>
      <c r="J33" s="25">
        <f t="shared" si="3"/>
        <v>3.1818965048894251E-5</v>
      </c>
      <c r="K33" s="25">
        <f t="shared" si="3"/>
        <v>7.2824263969160691E-6</v>
      </c>
      <c r="L33" s="25">
        <f t="shared" si="3"/>
        <v>1.4815408677744014E-6</v>
      </c>
      <c r="M33" s="25">
        <f t="shared" si="3"/>
        <v>2.7126494672623356E-7</v>
      </c>
      <c r="N33" s="25">
        <f t="shared" si="3"/>
        <v>4.5152420161122608E-8</v>
      </c>
      <c r="O33" s="25">
        <f t="shared" si="3"/>
        <v>6.8893750621309785E-9</v>
      </c>
      <c r="P33" s="25">
        <f t="shared" si="3"/>
        <v>9.7032342883217276E-10</v>
      </c>
      <c r="Q33" s="25">
        <f t="shared" si="3"/>
        <v>1.2690201655908457E-10</v>
      </c>
    </row>
    <row r="34" spans="2:17" x14ac:dyDescent="0.25">
      <c r="B34" s="26">
        <v>6</v>
      </c>
      <c r="C34" s="25">
        <f t="shared" si="3"/>
        <v>5.8565922038069642E-4</v>
      </c>
      <c r="D34" s="25">
        <f t="shared" si="3"/>
        <v>1.0723215313996216E-3</v>
      </c>
      <c r="E34" s="25">
        <f t="shared" si="3"/>
        <v>9.8169159358216609E-4</v>
      </c>
      <c r="F34" s="25">
        <f t="shared" si="3"/>
        <v>5.9914764784652021E-4</v>
      </c>
      <c r="G34" s="25">
        <f t="shared" si="3"/>
        <v>2.7425459248111498E-4</v>
      </c>
      <c r="H34" s="25">
        <f t="shared" si="3"/>
        <v>1.0043011169927835E-4</v>
      </c>
      <c r="I34" s="25">
        <f t="shared" si="3"/>
        <v>3.0647336490892367E-5</v>
      </c>
      <c r="J34" s="25">
        <f t="shared" si="3"/>
        <v>8.0163143283882207E-6</v>
      </c>
      <c r="K34" s="25">
        <f t="shared" si="3"/>
        <v>1.8346988653252759E-6</v>
      </c>
      <c r="L34" s="25">
        <f t="shared" si="3"/>
        <v>3.7325215537911963E-7</v>
      </c>
      <c r="M34" s="25">
        <f t="shared" si="3"/>
        <v>6.8341163073326979E-8</v>
      </c>
      <c r="N34" s="25">
        <f t="shared" si="3"/>
        <v>1.1375479753751161E-8</v>
      </c>
      <c r="O34" s="25">
        <f t="shared" si="3"/>
        <v>1.7356754356823518E-9</v>
      </c>
      <c r="P34" s="25">
        <f t="shared" si="3"/>
        <v>2.4445853577467144E-10</v>
      </c>
      <c r="Q34" s="25">
        <f t="shared" si="3"/>
        <v>3.1971072977412915E-11</v>
      </c>
    </row>
    <row r="35" spans="2:17" x14ac:dyDescent="0.25">
      <c r="B35" s="26">
        <v>7</v>
      </c>
      <c r="C35" s="25">
        <f t="shared" si="3"/>
        <v>1.264698151650716E-4</v>
      </c>
      <c r="D35" s="25">
        <f t="shared" si="3"/>
        <v>2.3156180446622514E-4</v>
      </c>
      <c r="E35" s="25">
        <f t="shared" si="3"/>
        <v>2.1199077905533021E-4</v>
      </c>
      <c r="F35" s="25">
        <f t="shared" si="3"/>
        <v>1.2938256522364891E-4</v>
      </c>
      <c r="G35" s="25">
        <f t="shared" si="3"/>
        <v>5.9223736965521322E-5</v>
      </c>
      <c r="H35" s="25">
        <f t="shared" si="3"/>
        <v>2.1687317849036758E-5</v>
      </c>
      <c r="I35" s="25">
        <f t="shared" si="3"/>
        <v>6.6181199687856322E-6</v>
      </c>
      <c r="J35" s="25">
        <f t="shared" si="3"/>
        <v>1.7310779991773341E-6</v>
      </c>
      <c r="K35" s="25">
        <f t="shared" si="3"/>
        <v>3.9619290247052717E-7</v>
      </c>
      <c r="L35" s="25">
        <f t="shared" si="3"/>
        <v>8.0601703956913824E-8</v>
      </c>
      <c r="M35" s="25">
        <f t="shared" si="3"/>
        <v>1.4757889846643932E-8</v>
      </c>
      <c r="N35" s="25">
        <f t="shared" si="3"/>
        <v>2.4564708823942938E-9</v>
      </c>
      <c r="O35" s="25">
        <f t="shared" si="3"/>
        <v>3.7480934970103193E-10</v>
      </c>
      <c r="P35" s="25">
        <f t="shared" si="3"/>
        <v>5.2789446078984268E-11</v>
      </c>
      <c r="Q35" s="25">
        <f t="shared" si="3"/>
        <v>6.9039734189689854E-12</v>
      </c>
    </row>
    <row r="36" spans="2:17" x14ac:dyDescent="0.25">
      <c r="B36" s="26">
        <v>8</v>
      </c>
      <c r="C36" s="25">
        <f t="shared" si="3"/>
        <v>2.3896639705090111E-5</v>
      </c>
      <c r="D36" s="25">
        <f t="shared" si="3"/>
        <v>4.3753910793396668E-5</v>
      </c>
      <c r="E36" s="25">
        <f t="shared" si="3"/>
        <v>4.005593952418204E-5</v>
      </c>
      <c r="F36" s="25">
        <f t="shared" si="3"/>
        <v>2.4447007700883827E-5</v>
      </c>
      <c r="G36" s="25">
        <f t="shared" si="3"/>
        <v>1.1190403831988462E-5</v>
      </c>
      <c r="H36" s="25">
        <f t="shared" si="3"/>
        <v>4.0978475388120313E-6</v>
      </c>
      <c r="I36" s="25">
        <f t="shared" si="3"/>
        <v>1.2505025662661876E-6</v>
      </c>
      <c r="J36" s="25">
        <f t="shared" si="3"/>
        <v>3.270894892489235E-7</v>
      </c>
      <c r="K36" s="25">
        <f t="shared" si="3"/>
        <v>7.4861175622773216E-8</v>
      </c>
      <c r="L36" s="25">
        <f t="shared" si="3"/>
        <v>1.5229799114995926E-8</v>
      </c>
      <c r="M36" s="25">
        <f t="shared" si="3"/>
        <v>2.7885229057411971E-9</v>
      </c>
      <c r="N36" s="25">
        <f t="shared" si="3"/>
        <v>4.6415343887395321E-10</v>
      </c>
      <c r="O36" s="25">
        <f t="shared" si="3"/>
        <v>7.0820724899567484E-11</v>
      </c>
      <c r="P36" s="25">
        <f t="shared" si="3"/>
        <v>9.9746360151965096E-12</v>
      </c>
      <c r="Q36" s="25">
        <f t="shared" si="3"/>
        <v>1.3045149556934404E-12</v>
      </c>
    </row>
    <row r="37" spans="2:17" x14ac:dyDescent="0.25">
      <c r="B37" s="26">
        <v>9</v>
      </c>
      <c r="C37" s="25">
        <f t="shared" si="3"/>
        <v>4.0136016360867654E-6</v>
      </c>
      <c r="D37" s="25">
        <f t="shared" si="3"/>
        <v>7.3487640987517263E-6</v>
      </c>
      <c r="E37" s="25">
        <f t="shared" si="3"/>
        <v>6.7276649099331318E-6</v>
      </c>
      <c r="F37" s="25">
        <f t="shared" si="3"/>
        <v>4.1060396489466618E-6</v>
      </c>
      <c r="G37" s="25">
        <f t="shared" si="3"/>
        <v>1.8795037161217948E-6</v>
      </c>
      <c r="H37" s="25">
        <f t="shared" si="3"/>
        <v>6.8826110236355816E-7</v>
      </c>
      <c r="I37" s="25">
        <f t="shared" si="3"/>
        <v>2.1003033095182798E-7</v>
      </c>
      <c r="J37" s="25">
        <f t="shared" si="3"/>
        <v>5.4936883402758459E-8</v>
      </c>
      <c r="K37" s="25">
        <f t="shared" si="3"/>
        <v>1.2573438804240793E-8</v>
      </c>
      <c r="L37" s="25">
        <f t="shared" si="3"/>
        <v>2.557947368315562E-9</v>
      </c>
      <c r="M37" s="25">
        <f t="shared" si="3"/>
        <v>4.6835120899296691E-10</v>
      </c>
      <c r="N37" s="25">
        <f t="shared" si="3"/>
        <v>7.7957697176267991E-11</v>
      </c>
      <c r="O37" s="25">
        <f t="shared" si="3"/>
        <v>1.1894817883754962E-11</v>
      </c>
      <c r="P37" s="25">
        <f t="shared" si="3"/>
        <v>1.6753073203608281E-12</v>
      </c>
      <c r="Q37" s="25">
        <f t="shared" si="3"/>
        <v>2.1910207565106287E-13</v>
      </c>
    </row>
    <row r="38" spans="2:17" x14ac:dyDescent="0.25">
      <c r="B38" s="26">
        <v>10</v>
      </c>
      <c r="C38" s="25">
        <f t="shared" si="3"/>
        <v>6.0670029187368997E-7</v>
      </c>
      <c r="D38" s="25">
        <f t="shared" si="3"/>
        <v>1.1108469967564024E-6</v>
      </c>
      <c r="E38" s="25">
        <f t="shared" si="3"/>
        <v>1.0169609828205124E-6</v>
      </c>
      <c r="F38" s="25">
        <f t="shared" si="3"/>
        <v>6.2067332020766361E-7</v>
      </c>
      <c r="G38" s="25">
        <f t="shared" si="3"/>
        <v>2.8410778062681837E-7</v>
      </c>
      <c r="H38" s="25">
        <f t="shared" si="3"/>
        <v>1.0403828021567298E-7</v>
      </c>
      <c r="I38" s="25">
        <f t="shared" si="3"/>
        <v>3.1748408199036098E-8</v>
      </c>
      <c r="J38" s="25">
        <f t="shared" si="3"/>
        <v>8.3043177218706684E-9</v>
      </c>
      <c r="K38" s="25">
        <f t="shared" si="3"/>
        <v>1.900614381806566E-9</v>
      </c>
      <c r="L38" s="25">
        <f t="shared" si="3"/>
        <v>3.8666204463372897E-10</v>
      </c>
      <c r="M38" s="25">
        <f t="shared" si="3"/>
        <v>7.0796466854262046E-11</v>
      </c>
      <c r="N38" s="25">
        <f t="shared" si="3"/>
        <v>1.1784168415068902E-11</v>
      </c>
      <c r="O38" s="25">
        <f t="shared" si="3"/>
        <v>1.7980333217360978E-12</v>
      </c>
      <c r="P38" s="25">
        <f t="shared" si="3"/>
        <v>2.5324123627576461E-13</v>
      </c>
      <c r="Q38" s="25">
        <f t="shared" si="3"/>
        <v>3.3119702775793246E-14</v>
      </c>
    </row>
    <row r="39" spans="2:17" x14ac:dyDescent="0.25">
      <c r="B39" s="26">
        <v>11</v>
      </c>
      <c r="C39" s="25">
        <f t="shared" si="3"/>
        <v>8.3372237600110415E-8</v>
      </c>
      <c r="D39" s="25">
        <f t="shared" si="3"/>
        <v>1.526516485840513E-7</v>
      </c>
      <c r="E39" s="25">
        <f t="shared" si="3"/>
        <v>1.397499124780467E-7</v>
      </c>
      <c r="F39" s="25">
        <f t="shared" si="3"/>
        <v>8.5292399257945354E-8</v>
      </c>
      <c r="G39" s="25">
        <f t="shared" si="3"/>
        <v>3.9041849340976621E-8</v>
      </c>
      <c r="H39" s="25">
        <f t="shared" si="3"/>
        <v>1.4296851895126152E-8</v>
      </c>
      <c r="I39" s="25">
        <f t="shared" si="3"/>
        <v>4.3628392259722221E-9</v>
      </c>
      <c r="J39" s="25">
        <f t="shared" si="3"/>
        <v>1.1411722715286751E-9</v>
      </c>
      <c r="K39" s="25">
        <f t="shared" si="3"/>
        <v>2.6118081027584825E-10</v>
      </c>
      <c r="L39" s="25">
        <f t="shared" si="3"/>
        <v>5.3134768992099328E-11</v>
      </c>
      <c r="M39" s="25">
        <f t="shared" si="3"/>
        <v>9.7287902031382581E-12</v>
      </c>
      <c r="N39" s="25">
        <f t="shared" si="3"/>
        <v>1.6193703912464638E-12</v>
      </c>
      <c r="O39" s="25">
        <f t="shared" si="3"/>
        <v>2.4708420833248409E-13</v>
      </c>
      <c r="P39" s="25">
        <f t="shared" si="3"/>
        <v>3.4800195094226788E-14</v>
      </c>
      <c r="Q39" s="25">
        <f t="shared" si="3"/>
        <v>4.5512813592701276E-15</v>
      </c>
    </row>
    <row r="40" spans="2:17" x14ac:dyDescent="0.25">
      <c r="B40" s="26">
        <v>12</v>
      </c>
      <c r="C40" s="25">
        <f t="shared" si="3"/>
        <v>1.050219675336012E-8</v>
      </c>
      <c r="D40" s="25">
        <f t="shared" si="3"/>
        <v>1.9229154623917278E-8</v>
      </c>
      <c r="E40" s="25">
        <f t="shared" si="3"/>
        <v>1.7603954498006171E-8</v>
      </c>
      <c r="F40" s="25">
        <f t="shared" si="3"/>
        <v>1.0744074818640857E-8</v>
      </c>
      <c r="G40" s="25">
        <f t="shared" si="3"/>
        <v>4.9180062236141371E-9</v>
      </c>
      <c r="H40" s="25">
        <f t="shared" si="3"/>
        <v>1.8009394479303923E-9</v>
      </c>
      <c r="I40" s="25">
        <f t="shared" si="3"/>
        <v>5.4957618115286098E-10</v>
      </c>
      <c r="J40" s="25">
        <f t="shared" si="3"/>
        <v>1.4375067852391636E-10</v>
      </c>
      <c r="K40" s="25">
        <f t="shared" si="3"/>
        <v>3.2900307544526626E-11</v>
      </c>
      <c r="L40" s="25">
        <f t="shared" si="3"/>
        <v>6.6932568258024834E-12</v>
      </c>
      <c r="M40" s="25">
        <f t="shared" si="3"/>
        <v>1.22551189492586E-12</v>
      </c>
      <c r="N40" s="25">
        <f t="shared" si="3"/>
        <v>2.0398812548379527E-13</v>
      </c>
      <c r="O40" s="25">
        <f t="shared" si="3"/>
        <v>3.1124593092995421E-14</v>
      </c>
      <c r="P40" s="25">
        <f t="shared" si="3"/>
        <v>4.3836954177466305E-15</v>
      </c>
      <c r="Q40" s="25">
        <f t="shared" si="3"/>
        <v>5.7331377555460812E-16</v>
      </c>
    </row>
    <row r="41" spans="2:17" x14ac:dyDescent="0.25">
      <c r="B41" s="26">
        <v>13</v>
      </c>
      <c r="C41" s="25">
        <f t="shared" si="3"/>
        <v>1.2211717158301685E-9</v>
      </c>
      <c r="D41" s="25">
        <f t="shared" si="3"/>
        <v>2.2359226643263673E-9</v>
      </c>
      <c r="E41" s="25">
        <f t="shared" si="3"/>
        <v>2.0469480647321157E-9</v>
      </c>
      <c r="F41" s="25">
        <f t="shared" si="3"/>
        <v>1.2492967509001938E-9</v>
      </c>
      <c r="G41" s="25">
        <f t="shared" si="3"/>
        <v>5.7185465475428486E-10</v>
      </c>
      <c r="H41" s="25">
        <f t="shared" si="3"/>
        <v>2.0940917099384502E-10</v>
      </c>
      <c r="I41" s="25">
        <f t="shared" si="3"/>
        <v>6.3903476946678559E-11</v>
      </c>
      <c r="J41" s="25">
        <f t="shared" si="3"/>
        <v>1.6715004190779178E-11</v>
      </c>
      <c r="K41" s="25">
        <f t="shared" si="3"/>
        <v>3.8255734451590266E-12</v>
      </c>
      <c r="L41" s="25">
        <f t="shared" si="3"/>
        <v>7.7827678479191534E-13</v>
      </c>
      <c r="M41" s="25">
        <f t="shared" si="3"/>
        <v>1.424997549220431E-13</v>
      </c>
      <c r="N41" s="25">
        <f t="shared" si="3"/>
        <v>2.3719278457273844E-14</v>
      </c>
      <c r="O41" s="25">
        <f t="shared" si="3"/>
        <v>3.6190973797675642E-15</v>
      </c>
      <c r="P41" s="25">
        <f t="shared" si="3"/>
        <v>5.0972620116393823E-16</v>
      </c>
      <c r="Q41" s="25">
        <f t="shared" si="3"/>
        <v>6.6663630804583354E-17</v>
      </c>
    </row>
    <row r="42" spans="2:17" x14ac:dyDescent="0.25">
      <c r="B42" s="26">
        <v>14</v>
      </c>
      <c r="C42" s="25">
        <f t="shared" si="3"/>
        <v>1.3185258236476087E-10</v>
      </c>
      <c r="D42" s="25">
        <f t="shared" si="3"/>
        <v>2.4141746278402027E-10</v>
      </c>
      <c r="E42" s="25">
        <f t="shared" si="3"/>
        <v>2.2101346174563236E-10</v>
      </c>
      <c r="F42" s="25">
        <f t="shared" si="3"/>
        <v>1.3488930394536291E-10</v>
      </c>
      <c r="G42" s="25">
        <f t="shared" si="3"/>
        <v>6.1744398424264998E-11</v>
      </c>
      <c r="H42" s="25">
        <f t="shared" si="3"/>
        <v>2.2610366427977599E-11</v>
      </c>
      <c r="I42" s="25">
        <f t="shared" si="3"/>
        <v>6.8997982415425798E-12</v>
      </c>
      <c r="J42" s="25">
        <f t="shared" si="3"/>
        <v>1.8047555787793395E-12</v>
      </c>
      <c r="K42" s="25">
        <f t="shared" si="3"/>
        <v>4.1305553611464611E-13</v>
      </c>
      <c r="L42" s="25">
        <f t="shared" si="3"/>
        <v>8.403224750386259E-14</v>
      </c>
      <c r="M42" s="25">
        <f t="shared" si="3"/>
        <v>1.5386010361404368E-14</v>
      </c>
      <c r="N42" s="25">
        <f t="shared" si="3"/>
        <v>2.5610223983072827E-15</v>
      </c>
      <c r="O42" s="25">
        <f t="shared" si="3"/>
        <v>3.9076186351687225E-16</v>
      </c>
      <c r="P42" s="25">
        <f t="shared" si="3"/>
        <v>5.5036253338667832E-17</v>
      </c>
      <c r="Q42" s="25">
        <f t="shared" si="3"/>
        <v>7.1978180934365444E-18</v>
      </c>
    </row>
  </sheetData>
  <mergeCells count="10">
    <mergeCell ref="A6:R7"/>
    <mergeCell ref="K1:L2"/>
    <mergeCell ref="K3:L4"/>
    <mergeCell ref="M2:N3"/>
    <mergeCell ref="A1:B2"/>
    <mergeCell ref="A3:B4"/>
    <mergeCell ref="C1:H2"/>
    <mergeCell ref="C3:H4"/>
    <mergeCell ref="I1:J2"/>
    <mergeCell ref="I3:J4"/>
  </mergeCells>
  <conditionalFormatting sqref="C28:Q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C1:H4" xr:uid="{1E6F4313-E45B-4AA8-A3E4-FEFB33C3F6D5}">
      <formula1>teams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AF5C1C-4FC4-4C8F-91AA-95AD580FB6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2012-2013</vt:lpstr>
      <vt:lpstr>Poisson Distribution</vt:lpstr>
      <vt:lpstr>att</vt:lpstr>
      <vt:lpstr>avg</vt:lpstr>
      <vt:lpstr>def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 Jack</dc:creator>
  <cp:lastModifiedBy>Darrell Jack</cp:lastModifiedBy>
  <dcterms:created xsi:type="dcterms:W3CDTF">2025-08-21T18:26:11Z</dcterms:created>
  <dcterms:modified xsi:type="dcterms:W3CDTF">2025-08-21T19:07:20Z</dcterms:modified>
</cp:coreProperties>
</file>